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tv\Desktop\CAPADS\Daplis\daplis\results\"/>
    </mc:Choice>
  </mc:AlternateContent>
  <xr:revisionPtr revIDLastSave="0" documentId="13_ncr:1_{EBF72E95-E208-4FA5-9FA0-291ECFA6C7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3" i="1"/>
  <c r="F36" i="1"/>
  <c r="F37" i="1"/>
  <c r="M23" i="1"/>
  <c r="M22" i="1"/>
  <c r="M27" i="1"/>
  <c r="M26" i="1"/>
  <c r="M25" i="1"/>
  <c r="M24" i="1"/>
  <c r="T16" i="1"/>
  <c r="T15" i="1"/>
  <c r="T9" i="1"/>
  <c r="T20" i="1"/>
  <c r="T19" i="1"/>
  <c r="T18" i="1"/>
  <c r="T17" i="1"/>
  <c r="T14" i="1"/>
  <c r="T13" i="1"/>
  <c r="T12" i="1"/>
  <c r="T11" i="1"/>
  <c r="T8" i="1"/>
  <c r="T7" i="1"/>
  <c r="T6" i="1"/>
  <c r="T5" i="1"/>
  <c r="T4" i="1"/>
  <c r="M5" i="1"/>
  <c r="M6" i="1"/>
  <c r="M7" i="1"/>
  <c r="M8" i="1"/>
  <c r="M11" i="1"/>
  <c r="M12" i="1"/>
  <c r="M13" i="1"/>
  <c r="M14" i="1"/>
  <c r="M15" i="1"/>
  <c r="M16" i="1"/>
  <c r="M17" i="1"/>
  <c r="M18" i="1"/>
  <c r="M4" i="1"/>
  <c r="F5" i="1"/>
  <c r="F6" i="1"/>
  <c r="F7" i="1"/>
  <c r="F8" i="1"/>
  <c r="F10" i="1"/>
  <c r="F11" i="1"/>
  <c r="F12" i="1"/>
  <c r="F13" i="1"/>
  <c r="F14" i="1"/>
  <c r="F15" i="1"/>
  <c r="F16" i="1"/>
  <c r="F17" i="1"/>
  <c r="F18" i="1"/>
  <c r="F4" i="1"/>
</calcChain>
</file>

<file path=xl/sharedStrings.xml><?xml version="1.0" encoding="utf-8"?>
<sst xmlns="http://schemas.openxmlformats.org/spreadsheetml/2006/main" count="132" uniqueCount="21">
  <si>
    <t>System</t>
  </si>
  <si>
    <t>Code Type</t>
  </si>
  <si>
    <t>Workers</t>
  </si>
  <si>
    <t>CPUs per Worker</t>
  </si>
  <si>
    <t>Time (s)</t>
  </si>
  <si>
    <t>Speedup</t>
  </si>
  <si>
    <t>Sunrise Cluster</t>
  </si>
  <si>
    <t>Linux Laptop</t>
  </si>
  <si>
    <t>Windows PC</t>
  </si>
  <si>
    <t>MP</t>
  </si>
  <si>
    <t>SEQ</t>
  </si>
  <si>
    <t>N/A</t>
  </si>
  <si>
    <t>inf</t>
  </si>
  <si>
    <t>Initial State = Windows PC SEQ</t>
  </si>
  <si>
    <t>Speedup_i = Initial State / Time(System_i)</t>
  </si>
  <si>
    <t>Analysis of 100 .dat files with CPU limit ~ 100</t>
  </si>
  <si>
    <t>Analysis of 1000 .dat files with CPU limit ~ 100</t>
  </si>
  <si>
    <t>Analysis of 1000 .dat files with CPU limit ~ 200</t>
  </si>
  <si>
    <t>Analysis of 1000 .dat files with maximum CPU usage per worker</t>
  </si>
  <si>
    <t>Analysis of 100 .dat files with pixels in range(35, 75) range(175, 180)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</si>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</sst>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164" fontId="0" fillId="0" borderId="9" xfId="0" applyNumberFormat="1" applyBorder="1"/>
    <xf numFmtId="0" fontId="0" fillId="0" borderId="4" xfId="0" applyBorder="1" applyAlignment="1">
      <alignment horizontal="right"/>
    </xf>
    <xf numFmtId="0" fontId="1" fillId="0" borderId="0" xfId="0" applyFont="1" applyAlignment="1">
      <alignment horizontal="center" vertical="top"/>
    </xf>
    <xf numFmtId="0" fontId="0" fillId="0" borderId="7" xfId="0" applyBorder="1" applyAlignment="1">
      <alignment horizontal="right"/>
    </xf>
    <xf numFmtId="164" fontId="2" fillId="2" borderId="7" xfId="1" applyNumberFormat="1" applyBorder="1"/>
    <xf numFmtId="164" fontId="0" fillId="0" borderId="7" xfId="0" applyNumberFormat="1" applyBorder="1" applyAlignment="1">
      <alignment horizontal="right"/>
    </xf>
    <xf numFmtId="164" fontId="2" fillId="2" borderId="9" xfId="1" applyNumberFormat="1" applyBorder="1"/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 vertical="top"/>
    </xf>
    <xf numFmtId="164" fontId="0" fillId="0" borderId="12" xfId="0" applyNumberFormat="1" applyBorder="1" applyAlignment="1">
      <alignment horizontal="right"/>
    </xf>
    <xf numFmtId="164" fontId="0" fillId="0" borderId="12" xfId="0" applyNumberFormat="1" applyBorder="1"/>
    <xf numFmtId="0" fontId="1" fillId="0" borderId="13" xfId="0" applyFont="1" applyBorder="1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topLeftCell="A10" zoomScaleNormal="100" workbookViewId="0">
      <selection activeCell="P31" sqref="P31"/>
    </sheetView>
  </sheetViews>
  <sheetFormatPr defaultRowHeight="15" x14ac:dyDescent="0.25"/>
  <cols>
    <col min="1" max="1" width="14.42578125" bestFit="1" customWidth="1"/>
    <col min="2" max="2" width="10.28515625" bestFit="1" customWidth="1"/>
    <col min="3" max="3" width="8.5703125" bestFit="1" customWidth="1"/>
    <col min="4" max="4" width="16.28515625" bestFit="1" customWidth="1"/>
    <col min="5" max="5" width="8.140625" bestFit="1" customWidth="1"/>
    <col min="6" max="6" width="8.85546875" bestFit="1" customWidth="1"/>
    <col min="8" max="8" width="14.42578125" bestFit="1" customWidth="1"/>
    <col min="9" max="9" width="10.28515625" bestFit="1" customWidth="1"/>
    <col min="10" max="10" width="8.5703125" bestFit="1" customWidth="1"/>
    <col min="11" max="11" width="16.28515625" bestFit="1" customWidth="1"/>
    <col min="12" max="12" width="8.140625" bestFit="1" customWidth="1"/>
    <col min="13" max="14" width="8.85546875" bestFit="1" customWidth="1"/>
    <col min="15" max="15" width="14.42578125" bestFit="1" customWidth="1"/>
    <col min="16" max="16" width="10.28515625" bestFit="1" customWidth="1"/>
    <col min="17" max="17" width="8.5703125" bestFit="1" customWidth="1"/>
    <col min="18" max="18" width="16.28515625" bestFit="1" customWidth="1"/>
    <col min="19" max="19" width="8.140625" bestFit="1" customWidth="1"/>
    <col min="20" max="21" width="8.85546875" bestFit="1" customWidth="1"/>
  </cols>
  <sheetData>
    <row r="1" spans="1:20" x14ac:dyDescent="0.25">
      <c r="A1" s="17" t="s">
        <v>15</v>
      </c>
      <c r="B1" s="18"/>
      <c r="C1" s="18"/>
      <c r="D1" s="18"/>
      <c r="E1" s="18"/>
      <c r="F1" s="19"/>
      <c r="H1" s="17" t="s">
        <v>16</v>
      </c>
      <c r="I1" s="18"/>
      <c r="J1" s="18"/>
      <c r="K1" s="18"/>
      <c r="L1" s="18"/>
      <c r="M1" s="19"/>
      <c r="O1" s="17" t="s">
        <v>17</v>
      </c>
      <c r="P1" s="18"/>
      <c r="Q1" s="18"/>
      <c r="R1" s="18"/>
      <c r="S1" s="18"/>
      <c r="T1" s="19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</row>
    <row r="3" spans="1:20" x14ac:dyDescent="0.25">
      <c r="A3" s="6" t="s">
        <v>6</v>
      </c>
      <c r="B3" s="2" t="s">
        <v>9</v>
      </c>
      <c r="C3" s="2">
        <v>1</v>
      </c>
      <c r="D3" s="2">
        <v>100</v>
      </c>
      <c r="E3" s="3" t="s">
        <v>12</v>
      </c>
      <c r="F3" s="13" t="s">
        <v>11</v>
      </c>
      <c r="H3" s="6" t="s">
        <v>6</v>
      </c>
      <c r="I3" s="2" t="s">
        <v>9</v>
      </c>
      <c r="J3" s="2">
        <v>1</v>
      </c>
      <c r="K3" s="2">
        <v>100</v>
      </c>
      <c r="L3" s="3" t="s">
        <v>12</v>
      </c>
      <c r="M3" s="13" t="s">
        <v>11</v>
      </c>
      <c r="O3" s="7" t="s">
        <v>6</v>
      </c>
      <c r="P3" t="s">
        <v>9</v>
      </c>
      <c r="Q3">
        <v>1</v>
      </c>
      <c r="R3">
        <v>200</v>
      </c>
      <c r="S3" s="4" t="s">
        <v>12</v>
      </c>
      <c r="T3" s="15" t="s">
        <v>11</v>
      </c>
    </row>
    <row r="4" spans="1:20" x14ac:dyDescent="0.25">
      <c r="A4" s="7"/>
      <c r="B4" t="s">
        <v>9</v>
      </c>
      <c r="C4">
        <v>5</v>
      </c>
      <c r="D4">
        <v>20</v>
      </c>
      <c r="E4">
        <v>14</v>
      </c>
      <c r="F4" s="8">
        <f>$E$18/E4</f>
        <v>5.5</v>
      </c>
      <c r="H4" s="7"/>
      <c r="I4" t="s">
        <v>9</v>
      </c>
      <c r="J4">
        <v>5</v>
      </c>
      <c r="K4">
        <v>20</v>
      </c>
      <c r="L4">
        <v>150</v>
      </c>
      <c r="M4" s="8">
        <f>$L$18/L4</f>
        <v>5</v>
      </c>
      <c r="O4" s="7"/>
      <c r="P4" t="s">
        <v>9</v>
      </c>
      <c r="Q4">
        <v>5</v>
      </c>
      <c r="R4">
        <v>40</v>
      </c>
      <c r="S4">
        <v>110</v>
      </c>
      <c r="T4" s="8">
        <f t="shared" ref="T4:T9" si="0">$L$18/S4</f>
        <v>6.8181818181818183</v>
      </c>
    </row>
    <row r="5" spans="1:20" x14ac:dyDescent="0.25">
      <c r="A5" s="7"/>
      <c r="B5" t="s">
        <v>9</v>
      </c>
      <c r="C5">
        <v>10</v>
      </c>
      <c r="D5">
        <v>10</v>
      </c>
      <c r="E5">
        <v>13</v>
      </c>
      <c r="F5" s="8">
        <f>$E$18/E5</f>
        <v>5.9230769230769234</v>
      </c>
      <c r="H5" s="7"/>
      <c r="I5" t="s">
        <v>9</v>
      </c>
      <c r="J5">
        <v>10</v>
      </c>
      <c r="K5">
        <v>10</v>
      </c>
      <c r="L5">
        <v>144</v>
      </c>
      <c r="M5" s="8">
        <f>$L$18/L5</f>
        <v>5.208333333333333</v>
      </c>
      <c r="O5" s="7"/>
      <c r="P5" t="s">
        <v>9</v>
      </c>
      <c r="Q5">
        <v>10</v>
      </c>
      <c r="R5">
        <v>20</v>
      </c>
      <c r="S5">
        <v>189</v>
      </c>
      <c r="T5" s="8">
        <f t="shared" si="0"/>
        <v>3.9682539682539684</v>
      </c>
    </row>
    <row r="6" spans="1:20" x14ac:dyDescent="0.25">
      <c r="A6" s="7"/>
      <c r="B6" t="s">
        <v>9</v>
      </c>
      <c r="C6">
        <v>20</v>
      </c>
      <c r="D6">
        <v>5</v>
      </c>
      <c r="E6">
        <v>12</v>
      </c>
      <c r="F6" s="14">
        <f>$E$18/E6</f>
        <v>6.416666666666667</v>
      </c>
      <c r="H6" s="7"/>
      <c r="I6" t="s">
        <v>9</v>
      </c>
      <c r="J6">
        <v>20</v>
      </c>
      <c r="K6">
        <v>5</v>
      </c>
      <c r="L6">
        <v>132</v>
      </c>
      <c r="M6" s="8">
        <f>$L$18/L6</f>
        <v>5.6818181818181817</v>
      </c>
      <c r="O6" s="7"/>
      <c r="P6" t="s">
        <v>9</v>
      </c>
      <c r="Q6">
        <v>25</v>
      </c>
      <c r="R6">
        <v>8</v>
      </c>
      <c r="S6">
        <v>83</v>
      </c>
      <c r="T6" s="14">
        <f t="shared" si="0"/>
        <v>9.0361445783132535</v>
      </c>
    </row>
    <row r="7" spans="1:20" x14ac:dyDescent="0.25">
      <c r="A7" s="7"/>
      <c r="B7" t="s">
        <v>9</v>
      </c>
      <c r="C7">
        <v>50</v>
      </c>
      <c r="D7">
        <v>2</v>
      </c>
      <c r="E7">
        <v>14</v>
      </c>
      <c r="F7" s="8">
        <f>$E$18/E7</f>
        <v>5.5</v>
      </c>
      <c r="H7" s="7"/>
      <c r="I7" t="s">
        <v>9</v>
      </c>
      <c r="J7">
        <v>50</v>
      </c>
      <c r="K7">
        <v>2</v>
      </c>
      <c r="L7">
        <v>356</v>
      </c>
      <c r="M7" s="8">
        <f>$L$18/L7</f>
        <v>2.106741573033708</v>
      </c>
      <c r="O7" s="7"/>
      <c r="P7" t="s">
        <v>9</v>
      </c>
      <c r="Q7">
        <v>50</v>
      </c>
      <c r="R7">
        <v>4</v>
      </c>
      <c r="S7">
        <v>133</v>
      </c>
      <c r="T7" s="8">
        <f t="shared" si="0"/>
        <v>5.6390977443609023</v>
      </c>
    </row>
    <row r="8" spans="1:20" x14ac:dyDescent="0.25">
      <c r="A8" s="7"/>
      <c r="B8" t="s">
        <v>9</v>
      </c>
      <c r="C8">
        <v>100</v>
      </c>
      <c r="D8">
        <v>1</v>
      </c>
      <c r="E8">
        <v>14</v>
      </c>
      <c r="F8" s="8">
        <f>$E$18/E8</f>
        <v>5.5</v>
      </c>
      <c r="H8" s="7"/>
      <c r="I8" t="s">
        <v>9</v>
      </c>
      <c r="J8">
        <v>100</v>
      </c>
      <c r="K8">
        <v>1</v>
      </c>
      <c r="L8">
        <v>337</v>
      </c>
      <c r="M8" s="8">
        <f>$L$18/L8</f>
        <v>2.2255192878338277</v>
      </c>
      <c r="O8" s="7"/>
      <c r="P8" t="s">
        <v>9</v>
      </c>
      <c r="Q8">
        <v>100</v>
      </c>
      <c r="R8">
        <v>2</v>
      </c>
      <c r="S8">
        <v>116</v>
      </c>
      <c r="T8" s="8">
        <f t="shared" si="0"/>
        <v>6.4655172413793105</v>
      </c>
    </row>
    <row r="9" spans="1:20" x14ac:dyDescent="0.25">
      <c r="A9" s="7"/>
      <c r="B9" t="s">
        <v>10</v>
      </c>
      <c r="C9">
        <v>1</v>
      </c>
      <c r="D9">
        <v>100</v>
      </c>
      <c r="E9" s="4" t="s">
        <v>12</v>
      </c>
      <c r="F9" s="13" t="s">
        <v>11</v>
      </c>
      <c r="H9" s="7"/>
      <c r="I9" t="s">
        <v>10</v>
      </c>
      <c r="J9">
        <v>1</v>
      </c>
      <c r="K9">
        <v>100</v>
      </c>
      <c r="L9" s="4" t="s">
        <v>12</v>
      </c>
      <c r="M9" s="15" t="s">
        <v>11</v>
      </c>
      <c r="O9" s="7"/>
      <c r="P9" t="s">
        <v>9</v>
      </c>
      <c r="Q9">
        <v>200</v>
      </c>
      <c r="R9">
        <v>1</v>
      </c>
      <c r="S9">
        <v>72</v>
      </c>
      <c r="T9" s="14">
        <f t="shared" si="0"/>
        <v>10.416666666666666</v>
      </c>
    </row>
    <row r="10" spans="1:20" x14ac:dyDescent="0.25">
      <c r="A10" s="7"/>
      <c r="B10" t="s">
        <v>10</v>
      </c>
      <c r="C10">
        <v>5</v>
      </c>
      <c r="D10">
        <v>20</v>
      </c>
      <c r="E10">
        <v>37</v>
      </c>
      <c r="F10" s="8">
        <f t="shared" ref="F10:F18" si="1">$E$18/E10</f>
        <v>2.0810810810810811</v>
      </c>
      <c r="H10" s="7"/>
      <c r="I10" t="s">
        <v>10</v>
      </c>
      <c r="J10">
        <v>5</v>
      </c>
      <c r="K10">
        <v>20</v>
      </c>
      <c r="L10" s="4" t="s">
        <v>12</v>
      </c>
      <c r="M10" s="15" t="s">
        <v>11</v>
      </c>
      <c r="O10" s="7"/>
      <c r="P10" t="s">
        <v>9</v>
      </c>
      <c r="Q10">
        <v>1</v>
      </c>
      <c r="R10" s="4">
        <v>200</v>
      </c>
      <c r="S10" s="4" t="s">
        <v>12</v>
      </c>
      <c r="T10" s="15" t="s">
        <v>11</v>
      </c>
    </row>
    <row r="11" spans="1:20" x14ac:dyDescent="0.25">
      <c r="A11" s="7"/>
      <c r="B11" t="s">
        <v>10</v>
      </c>
      <c r="C11">
        <v>10</v>
      </c>
      <c r="D11">
        <v>10</v>
      </c>
      <c r="E11">
        <v>22</v>
      </c>
      <c r="F11" s="8">
        <f t="shared" si="1"/>
        <v>3.5</v>
      </c>
      <c r="H11" s="7"/>
      <c r="I11" t="s">
        <v>10</v>
      </c>
      <c r="J11">
        <v>10</v>
      </c>
      <c r="K11">
        <v>10</v>
      </c>
      <c r="L11">
        <v>220</v>
      </c>
      <c r="M11" s="8">
        <f t="shared" ref="M11:M18" si="2">$L$18/L11</f>
        <v>3.4090909090909092</v>
      </c>
      <c r="O11" s="7"/>
      <c r="P11" t="s">
        <v>10</v>
      </c>
      <c r="Q11">
        <v>5</v>
      </c>
      <c r="R11">
        <v>40</v>
      </c>
      <c r="S11">
        <v>700</v>
      </c>
      <c r="T11" s="8">
        <f t="shared" ref="T11:T20" si="3">$L$18/S11</f>
        <v>1.0714285714285714</v>
      </c>
    </row>
    <row r="12" spans="1:20" x14ac:dyDescent="0.25">
      <c r="A12" s="7"/>
      <c r="B12" t="s">
        <v>10</v>
      </c>
      <c r="C12">
        <v>20</v>
      </c>
      <c r="D12">
        <v>5</v>
      </c>
      <c r="E12">
        <v>15</v>
      </c>
      <c r="F12" s="8">
        <f t="shared" si="1"/>
        <v>5.1333333333333337</v>
      </c>
      <c r="H12" s="7"/>
      <c r="I12" t="s">
        <v>10</v>
      </c>
      <c r="J12">
        <v>20</v>
      </c>
      <c r="K12">
        <v>5</v>
      </c>
      <c r="L12">
        <v>129</v>
      </c>
      <c r="M12" s="8">
        <f t="shared" si="2"/>
        <v>5.8139534883720927</v>
      </c>
      <c r="O12" s="7"/>
      <c r="P12" t="s">
        <v>10</v>
      </c>
      <c r="Q12">
        <v>10</v>
      </c>
      <c r="R12">
        <v>20</v>
      </c>
      <c r="S12">
        <v>510</v>
      </c>
      <c r="T12" s="8">
        <f t="shared" si="3"/>
        <v>1.4705882352941178</v>
      </c>
    </row>
    <row r="13" spans="1:20" x14ac:dyDescent="0.25">
      <c r="A13" s="7"/>
      <c r="B13" t="s">
        <v>10</v>
      </c>
      <c r="C13">
        <v>50</v>
      </c>
      <c r="D13">
        <v>2</v>
      </c>
      <c r="E13">
        <v>12</v>
      </c>
      <c r="F13" s="14">
        <f t="shared" si="1"/>
        <v>6.416666666666667</v>
      </c>
      <c r="H13" s="7"/>
      <c r="I13" t="s">
        <v>10</v>
      </c>
      <c r="J13">
        <v>50</v>
      </c>
      <c r="K13">
        <v>2</v>
      </c>
      <c r="L13">
        <v>97</v>
      </c>
      <c r="M13" s="14">
        <f t="shared" si="2"/>
        <v>7.731958762886598</v>
      </c>
      <c r="O13" s="7"/>
      <c r="P13" t="s">
        <v>10</v>
      </c>
      <c r="Q13">
        <v>25</v>
      </c>
      <c r="R13">
        <v>8</v>
      </c>
      <c r="S13">
        <v>302</v>
      </c>
      <c r="T13" s="8">
        <f t="shared" si="3"/>
        <v>2.4834437086092715</v>
      </c>
    </row>
    <row r="14" spans="1:20" x14ac:dyDescent="0.25">
      <c r="A14" s="9"/>
      <c r="B14" s="5" t="s">
        <v>10</v>
      </c>
      <c r="C14" s="5">
        <v>100</v>
      </c>
      <c r="D14" s="5">
        <v>1</v>
      </c>
      <c r="E14" s="5">
        <v>15</v>
      </c>
      <c r="F14" s="10">
        <f t="shared" si="1"/>
        <v>5.1333333333333337</v>
      </c>
      <c r="H14" s="9"/>
      <c r="I14" s="5" t="s">
        <v>10</v>
      </c>
      <c r="J14" s="5">
        <v>100</v>
      </c>
      <c r="K14" s="5">
        <v>1</v>
      </c>
      <c r="L14" s="5">
        <v>98</v>
      </c>
      <c r="M14" s="16">
        <f t="shared" si="2"/>
        <v>7.6530612244897958</v>
      </c>
      <c r="O14" s="7"/>
      <c r="P14" t="s">
        <v>10</v>
      </c>
      <c r="Q14">
        <v>50</v>
      </c>
      <c r="R14">
        <v>4</v>
      </c>
      <c r="S14">
        <v>108</v>
      </c>
      <c r="T14" s="8">
        <f t="shared" si="3"/>
        <v>6.9444444444444446</v>
      </c>
    </row>
    <row r="15" spans="1:20" x14ac:dyDescent="0.25">
      <c r="A15" s="7" t="s">
        <v>7</v>
      </c>
      <c r="B15" t="s">
        <v>9</v>
      </c>
      <c r="C15">
        <v>1</v>
      </c>
      <c r="D15" s="4">
        <v>7</v>
      </c>
      <c r="E15">
        <v>77</v>
      </c>
      <c r="F15" s="8">
        <f t="shared" si="1"/>
        <v>1</v>
      </c>
      <c r="H15" s="7" t="s">
        <v>7</v>
      </c>
      <c r="I15" t="s">
        <v>9</v>
      </c>
      <c r="J15">
        <v>1</v>
      </c>
      <c r="K15" s="4">
        <v>7</v>
      </c>
      <c r="L15">
        <v>740</v>
      </c>
      <c r="M15" s="8">
        <f t="shared" si="2"/>
        <v>1.0135135135135136</v>
      </c>
      <c r="O15" s="7"/>
      <c r="P15" t="s">
        <v>10</v>
      </c>
      <c r="Q15">
        <v>100</v>
      </c>
      <c r="R15">
        <v>2</v>
      </c>
      <c r="S15">
        <v>69</v>
      </c>
      <c r="T15" s="14">
        <f t="shared" si="3"/>
        <v>10.869565217391305</v>
      </c>
    </row>
    <row r="16" spans="1:20" x14ac:dyDescent="0.25">
      <c r="A16" s="9"/>
      <c r="B16" s="5" t="s">
        <v>10</v>
      </c>
      <c r="C16" s="5">
        <v>1</v>
      </c>
      <c r="D16" s="11">
        <v>7</v>
      </c>
      <c r="E16" s="5">
        <v>103</v>
      </c>
      <c r="F16" s="10">
        <f t="shared" si="1"/>
        <v>0.74757281553398058</v>
      </c>
      <c r="H16" s="9"/>
      <c r="I16" s="5" t="s">
        <v>10</v>
      </c>
      <c r="J16" s="5">
        <v>1</v>
      </c>
      <c r="K16" s="11">
        <v>7</v>
      </c>
      <c r="L16" s="5">
        <v>1150</v>
      </c>
      <c r="M16" s="10">
        <f t="shared" si="2"/>
        <v>0.65217391304347827</v>
      </c>
      <c r="O16" s="9"/>
      <c r="P16" s="5" t="s">
        <v>10</v>
      </c>
      <c r="Q16" s="5">
        <v>200</v>
      </c>
      <c r="R16" s="5">
        <v>1</v>
      </c>
      <c r="S16" s="5">
        <v>103</v>
      </c>
      <c r="T16" s="10">
        <f t="shared" si="3"/>
        <v>7.2815533980582527</v>
      </c>
    </row>
    <row r="17" spans="1:20" x14ac:dyDescent="0.25">
      <c r="A17" s="7" t="s">
        <v>8</v>
      </c>
      <c r="B17" t="s">
        <v>9</v>
      </c>
      <c r="C17">
        <v>1</v>
      </c>
      <c r="D17" s="4">
        <v>10</v>
      </c>
      <c r="E17">
        <v>27</v>
      </c>
      <c r="F17" s="8">
        <f t="shared" si="1"/>
        <v>2.8518518518518516</v>
      </c>
      <c r="H17" s="7" t="s">
        <v>8</v>
      </c>
      <c r="I17" t="s">
        <v>9</v>
      </c>
      <c r="J17">
        <v>1</v>
      </c>
      <c r="K17" s="4">
        <v>10</v>
      </c>
      <c r="L17">
        <v>230</v>
      </c>
      <c r="M17" s="8">
        <f t="shared" si="2"/>
        <v>3.2608695652173911</v>
      </c>
      <c r="O17" s="7" t="s">
        <v>7</v>
      </c>
      <c r="P17" t="s">
        <v>9</v>
      </c>
      <c r="Q17">
        <v>1</v>
      </c>
      <c r="R17" s="4">
        <v>7</v>
      </c>
      <c r="S17">
        <v>740</v>
      </c>
      <c r="T17" s="8">
        <f t="shared" si="3"/>
        <v>1.0135135135135136</v>
      </c>
    </row>
    <row r="18" spans="1:20" x14ac:dyDescent="0.25">
      <c r="A18" s="9"/>
      <c r="B18" s="5" t="s">
        <v>10</v>
      </c>
      <c r="C18" s="5">
        <v>1</v>
      </c>
      <c r="D18" s="11">
        <v>10</v>
      </c>
      <c r="E18" s="5">
        <v>77</v>
      </c>
      <c r="F18" s="10">
        <f t="shared" si="1"/>
        <v>1</v>
      </c>
      <c r="H18" s="9"/>
      <c r="I18" s="5" t="s">
        <v>10</v>
      </c>
      <c r="J18" s="5">
        <v>1</v>
      </c>
      <c r="K18" s="11">
        <v>10</v>
      </c>
      <c r="L18" s="5">
        <v>750</v>
      </c>
      <c r="M18" s="10">
        <f t="shared" si="2"/>
        <v>1</v>
      </c>
      <c r="O18" s="9"/>
      <c r="P18" s="5" t="s">
        <v>10</v>
      </c>
      <c r="Q18" s="5">
        <v>1</v>
      </c>
      <c r="R18" s="11">
        <v>7</v>
      </c>
      <c r="S18" s="5">
        <v>1150</v>
      </c>
      <c r="T18" s="10">
        <f t="shared" si="3"/>
        <v>0.65217391304347827</v>
      </c>
    </row>
    <row r="19" spans="1:20" x14ac:dyDescent="0.25">
      <c r="O19" s="7" t="s">
        <v>8</v>
      </c>
      <c r="P19" t="s">
        <v>9</v>
      </c>
      <c r="Q19">
        <v>1</v>
      </c>
      <c r="R19" s="4">
        <v>10</v>
      </c>
      <c r="S19">
        <v>230</v>
      </c>
      <c r="T19" s="8">
        <f t="shared" si="3"/>
        <v>3.2608695652173911</v>
      </c>
    </row>
    <row r="20" spans="1:20" x14ac:dyDescent="0.25">
      <c r="B20" s="12" t="s">
        <v>13</v>
      </c>
      <c r="H20" s="17" t="s">
        <v>18</v>
      </c>
      <c r="I20" s="18"/>
      <c r="J20" s="18"/>
      <c r="K20" s="18"/>
      <c r="L20" s="18"/>
      <c r="M20" s="19"/>
      <c r="O20" s="9"/>
      <c r="P20" s="5" t="s">
        <v>10</v>
      </c>
      <c r="Q20" s="5">
        <v>1</v>
      </c>
      <c r="R20" s="11">
        <v>10</v>
      </c>
      <c r="S20" s="5">
        <v>750</v>
      </c>
      <c r="T20" s="10">
        <f t="shared" si="3"/>
        <v>1</v>
      </c>
    </row>
    <row r="21" spans="1:20" x14ac:dyDescent="0.25">
      <c r="A21" s="20" t="s">
        <v>14</v>
      </c>
      <c r="B21" s="20"/>
      <c r="C21" s="20"/>
      <c r="D21" s="20"/>
      <c r="H21" s="1" t="s">
        <v>0</v>
      </c>
      <c r="I21" s="1" t="s">
        <v>1</v>
      </c>
      <c r="J21" s="1" t="s">
        <v>2</v>
      </c>
      <c r="K21" s="1" t="s">
        <v>3</v>
      </c>
      <c r="L21" s="1" t="s">
        <v>4</v>
      </c>
      <c r="M21" s="1" t="s">
        <v>5</v>
      </c>
    </row>
    <row r="22" spans="1:20" x14ac:dyDescent="0.25">
      <c r="H22" s="6" t="s">
        <v>6</v>
      </c>
      <c r="I22" s="2" t="s">
        <v>9</v>
      </c>
      <c r="J22" s="2">
        <v>3</v>
      </c>
      <c r="K22" s="2">
        <v>60</v>
      </c>
      <c r="L22" s="3">
        <v>213</v>
      </c>
      <c r="M22" s="14">
        <f>$L$27/L22</f>
        <v>3.5211267605633805</v>
      </c>
    </row>
    <row r="23" spans="1:20" x14ac:dyDescent="0.25">
      <c r="H23" s="9"/>
      <c r="I23" s="5" t="s">
        <v>10</v>
      </c>
      <c r="J23" s="5">
        <v>3</v>
      </c>
      <c r="K23" s="5">
        <v>60</v>
      </c>
      <c r="L23" s="5">
        <v>415</v>
      </c>
      <c r="M23" s="10">
        <f>$L$27/L23</f>
        <v>1.8072289156626506</v>
      </c>
    </row>
    <row r="24" spans="1:20" x14ac:dyDescent="0.25">
      <c r="H24" s="7" t="s">
        <v>7</v>
      </c>
      <c r="I24" t="s">
        <v>9</v>
      </c>
      <c r="J24">
        <v>1</v>
      </c>
      <c r="K24" s="4">
        <v>7</v>
      </c>
      <c r="L24">
        <v>740</v>
      </c>
      <c r="M24" s="8">
        <f>$L$18/L24</f>
        <v>1.0135135135135136</v>
      </c>
    </row>
    <row r="25" spans="1:20" x14ac:dyDescent="0.25">
      <c r="H25" s="9"/>
      <c r="I25" s="5" t="s">
        <v>10</v>
      </c>
      <c r="J25" s="5">
        <v>1</v>
      </c>
      <c r="K25" s="11">
        <v>7</v>
      </c>
      <c r="L25" s="5">
        <v>1150</v>
      </c>
      <c r="M25" s="10">
        <f>$L$18/L25</f>
        <v>0.65217391304347827</v>
      </c>
    </row>
    <row r="26" spans="1:20" x14ac:dyDescent="0.25">
      <c r="H26" s="7" t="s">
        <v>8</v>
      </c>
      <c r="I26" t="s">
        <v>9</v>
      </c>
      <c r="J26">
        <v>1</v>
      </c>
      <c r="K26" s="4">
        <v>10</v>
      </c>
      <c r="L26">
        <v>230</v>
      </c>
      <c r="M26" s="8">
        <f>$L$18/L26</f>
        <v>3.2608695652173911</v>
      </c>
    </row>
    <row r="27" spans="1:20" x14ac:dyDescent="0.25">
      <c r="H27" s="9"/>
      <c r="I27" s="5" t="s">
        <v>10</v>
      </c>
      <c r="J27" s="5">
        <v>1</v>
      </c>
      <c r="K27" s="11">
        <v>10</v>
      </c>
      <c r="L27" s="5">
        <v>750</v>
      </c>
      <c r="M27" s="10">
        <f>$L$18/L27</f>
        <v>1</v>
      </c>
    </row>
    <row r="30" spans="1:20" x14ac:dyDescent="0.25">
      <c r="A30" s="17" t="s">
        <v>19</v>
      </c>
      <c r="B30" s="18"/>
      <c r="C30" s="18"/>
      <c r="D30" s="18"/>
      <c r="E30" s="18"/>
      <c r="F30" s="19"/>
    </row>
    <row r="31" spans="1:20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23" t="s">
        <v>5</v>
      </c>
    </row>
    <row r="32" spans="1:20" x14ac:dyDescent="0.25">
      <c r="A32" s="6" t="s">
        <v>6</v>
      </c>
      <c r="B32" s="2" t="s">
        <v>9</v>
      </c>
      <c r="C32" s="2">
        <v>25</v>
      </c>
      <c r="D32" s="2">
        <v>4</v>
      </c>
      <c r="E32" s="3">
        <v>169</v>
      </c>
      <c r="F32" s="22">
        <f>$E$37/E32</f>
        <v>8.6982248520710055</v>
      </c>
    </row>
    <row r="33" spans="1:6" x14ac:dyDescent="0.25">
      <c r="A33" s="9"/>
      <c r="B33" s="5" t="s">
        <v>10</v>
      </c>
      <c r="C33" s="5">
        <v>25</v>
      </c>
      <c r="D33" s="5">
        <v>4</v>
      </c>
      <c r="E33" s="5">
        <v>88</v>
      </c>
      <c r="F33" s="16">
        <f>$E$37/E33</f>
        <v>16.704545454545453</v>
      </c>
    </row>
    <row r="34" spans="1:6" x14ac:dyDescent="0.25">
      <c r="A34" s="7" t="s">
        <v>7</v>
      </c>
      <c r="B34" t="s">
        <v>9</v>
      </c>
      <c r="C34">
        <v>1</v>
      </c>
      <c r="D34" s="4">
        <v>7</v>
      </c>
      <c r="E34" s="4" t="s">
        <v>20</v>
      </c>
      <c r="F34" s="21" t="s">
        <v>20</v>
      </c>
    </row>
    <row r="35" spans="1:6" x14ac:dyDescent="0.25">
      <c r="A35" s="9"/>
      <c r="B35" s="5" t="s">
        <v>10</v>
      </c>
      <c r="C35" s="5">
        <v>1</v>
      </c>
      <c r="D35" s="11">
        <v>7</v>
      </c>
      <c r="E35" s="11" t="s">
        <v>20</v>
      </c>
      <c r="F35" s="15" t="s">
        <v>20</v>
      </c>
    </row>
    <row r="36" spans="1:6" x14ac:dyDescent="0.25">
      <c r="A36" s="7" t="s">
        <v>8</v>
      </c>
      <c r="B36" t="s">
        <v>9</v>
      </c>
      <c r="C36">
        <v>1</v>
      </c>
      <c r="D36" s="4">
        <v>10</v>
      </c>
      <c r="E36">
        <v>330</v>
      </c>
      <c r="F36" s="22">
        <f>$E$37/E36</f>
        <v>4.4545454545454541</v>
      </c>
    </row>
    <row r="37" spans="1:6" x14ac:dyDescent="0.25">
      <c r="A37" s="9"/>
      <c r="B37" s="5" t="s">
        <v>10</v>
      </c>
      <c r="C37" s="5">
        <v>1</v>
      </c>
      <c r="D37" s="11">
        <v>10</v>
      </c>
      <c r="E37" s="5">
        <v>1470</v>
      </c>
      <c r="F37" s="10">
        <f>$E$37/E37</f>
        <v>1</v>
      </c>
    </row>
  </sheetData>
  <mergeCells count="6">
    <mergeCell ref="A30:F30"/>
    <mergeCell ref="H20:M20"/>
    <mergeCell ref="A21:D21"/>
    <mergeCell ref="A1:F1"/>
    <mergeCell ref="H1:M1"/>
    <mergeCell ref="O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Dmitrij Ševaev</dc:creator>
  <cp:lastModifiedBy>Sevaev, Dmitrij</cp:lastModifiedBy>
  <dcterms:created xsi:type="dcterms:W3CDTF">2025-02-10T09:27:06Z</dcterms:created>
  <dcterms:modified xsi:type="dcterms:W3CDTF">2025-02-25T10:08:06Z</dcterms:modified>
</cp:coreProperties>
</file>